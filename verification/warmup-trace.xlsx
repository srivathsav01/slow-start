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mup Trace" sheetId="1" r:id="rId5"/>
  </sheets>
  <definedNames/>
  <calcPr/>
</workbook>
</file>

<file path=xl/sharedStrings.xml><?xml version="1.0" encoding="utf-8"?>
<sst xmlns="http://schemas.openxmlformats.org/spreadsheetml/2006/main" count="67" uniqueCount="67">
  <si>
    <t>SmoothWarmingUp — golden vector trace</t>
  </si>
  <si>
    <t>All time values in MICROSECONDS. Blue = input you may edit. Black = formula. Everything recomputes.</t>
  </si>
  <si>
    <t>CONFIG</t>
  </si>
  <si>
    <t>stableRate</t>
  </si>
  <si>
    <t>coldFactor</t>
  </si>
  <si>
    <t>warmupPeriod</t>
  </si>
  <si>
    <t>stableInterval</t>
  </si>
  <si>
    <t>coldInterval</t>
  </si>
  <si>
    <t>thresholdPermits</t>
  </si>
  <si>
    <t>maxPermits</t>
  </si>
  <si>
    <t>slope</t>
  </si>
  <si>
    <t>coolDownInterval</t>
  </si>
  <si>
    <t>values</t>
  </si>
  <si>
    <t>&lt;- edit the three blue cells; every row below recomputes</t>
  </si>
  <si>
    <t>initial storedPermits</t>
  </si>
  <si>
    <t>initial nextFreeTicket</t>
  </si>
  <si>
    <t>step</t>
  </si>
  <si>
    <t>permits (n)</t>
  </si>
  <si>
    <t>now</t>
  </si>
  <si>
    <t>stored_in</t>
  </si>
  <si>
    <t>stored_after_resync</t>
  </si>
  <si>
    <t>nextFree_in</t>
  </si>
  <si>
    <t>nextFree_used</t>
  </si>
  <si>
    <t>grantTime</t>
  </si>
  <si>
    <t>caller wait</t>
  </si>
  <si>
    <t>spend</t>
  </si>
  <si>
    <t>fresh</t>
  </si>
  <si>
    <t>above_threshold</t>
  </si>
  <si>
    <t>take_above</t>
  </si>
  <si>
    <t>height_hi</t>
  </si>
  <si>
    <t>height_lo</t>
  </si>
  <si>
    <t>cost_sloped</t>
  </si>
  <si>
    <t>cost_flat</t>
  </si>
  <si>
    <t>cost_fresh</t>
  </si>
  <si>
    <t>cost_total</t>
  </si>
  <si>
    <t>stored_out</t>
  </si>
  <si>
    <t>nextFree_out</t>
  </si>
  <si>
    <t>exercises</t>
  </si>
  <si>
    <t>cold start; debt model; first caller waits zero</t>
  </si>
  <si>
    <t>pays previous caller's bill</t>
  </si>
  <si>
    <t>ramp - cost shrinking</t>
  </si>
  <si>
    <t>resync FIRES - partial re-cool</t>
  </si>
  <si>
    <t>resync does NOT fire - timeline ahead of clock</t>
  </si>
  <si>
    <t>THRESHOLD CROSSING - sloped + flat in one cost</t>
  </si>
  <si>
    <t>below threshold - flat region; cost exactly 10000</t>
  </si>
  <si>
    <t>confirms stable rate</t>
  </si>
  <si>
    <t>long idle &gt; warmupPeriod - resync caps at maxPermits</t>
  </si>
  <si>
    <t>n &gt; maxPermits - stored drained THEN fresh permits</t>
  </si>
  <si>
    <t>empty pot; cost exactly 10000</t>
  </si>
  <si>
    <t>sustained stable rate</t>
  </si>
  <si>
    <t>SELF-CONSISTENCY CHECKS</t>
  </si>
  <si>
    <t>computed</t>
  </si>
  <si>
    <t>expected</t>
  </si>
  <si>
    <t>result</t>
  </si>
  <si>
    <t>Drain maxPermits -&gt; threshold must equal warmupPeriod</t>
  </si>
  <si>
    <t>Drain threshold -&gt; 0 must equal warmupPeriod/2</t>
  </si>
  <si>
    <t>intervalAt(maxPermits) must equal coldInterval</t>
  </si>
  <si>
    <t>intervalAt(thresholdPermits) must equal stableInterval</t>
  </si>
  <si>
    <t>Step 6 sloped cost must equal warmupPeriod</t>
  </si>
  <si>
    <t>Step 7 total cost must equal stableInterval</t>
  </si>
  <si>
    <t>Step 9 stored_after_resync must equal maxPermits</t>
  </si>
  <si>
    <t>Step 11 total cost must equal stableInterval</t>
  </si>
  <si>
    <t>nextFree must never decrease</t>
  </si>
  <si>
    <t>stored_out must never exceed maxPermits</t>
  </si>
  <si>
    <t>stored_out must never go below zero</t>
  </si>
  <si>
    <t>NOTE: Guava works in long microseconds and truncates the wait at two points; these values are exact doubles.</t>
  </si>
  <si>
    <t>Expect sub-microsecond, cumulative differences when comparing against the Guava harness. Decide whether to replicate truncation or document the deviation.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</si>
</sst>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9">
    <font>
      <sz val="11.0"/>
      <color theme="1"/>
      <name val="Calibri"/>
      <scheme val="minor"/>
    </font>
    <font>
      <b/>
      <sz val="13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rgb="FF0000FF"/>
      <name val="Arial"/>
    </font>
    <font>
      <sz val="10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</fills>
  <borders count="7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textRotation="0" vertical="center" wrapText="1"/>
    </xf>
    <xf borderId="1" fillId="2" fontId="5" numFmtId="0" xfId="0" applyAlignment="1" applyBorder="1" applyFill="1" applyFont="1">
      <alignment horizontal="center" shrinkToFit="0" textRotation="0" vertical="center" wrapText="0"/>
    </xf>
    <xf borderId="1" fillId="3" fontId="6" numFmtId="0" xfId="0" applyAlignment="1" applyBorder="1" applyFill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3" fontId="6" numFmtId="0" xfId="0" applyAlignment="1" applyBorder="1" applyFill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164" xfId="0" applyAlignment="1" applyBorder="1" applyFill="1" applyFont="1" applyNumberFormat="1">
      <alignment shrinkToFit="0" vertical="bottom" wrapText="0"/>
    </xf>
    <xf borderId="1" fillId="0" fontId="7" numFmtId="164" xfId="0" applyAlignment="1" applyBorder="1" applyFont="1" applyNumberForma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4" fontId="6" numFmtId="164" xfId="0" applyAlignment="1" applyBorder="1" applyFill="1" applyFont="1" applyNumberFormat="1">
      <alignment shrinkToFit="0" vertical="bottom" wrapText="0"/>
    </xf>
    <xf borderId="1" fillId="4" fontId="7" numFmtId="164" xfId="0" applyAlignment="1" applyBorder="1" applyFill="1" applyFont="1" applyNumberFormat="1">
      <alignment shrinkToFit="0" vertical="bottom" wrapText="0"/>
    </xf>
    <xf borderId="1" fillId="4" fontId="4" numFmtId="164" xfId="0" applyAlignment="1" applyBorder="1" applyFill="1" applyFont="1" applyNumberForma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1"/>
    </xf>
    <xf borderId="5" fillId="0" fontId="8" numFmtId="0" xfId="0" applyBorder="1" applyFont="1"/>
    <xf borderId="6" fillId="0" fontId="8" numFmtId="0" xfId="0" applyBorder="1" applyFont="1"/>
    <xf borderId="3" fillId="0" fontId="7" numFmtId="0" xfId="0" applyAlignment="1" applyBorder="1" applyFont="1">
      <alignment shrinkToFit="0" vertical="bottom" wrapText="0"/>
    </xf>
    <xf borderId="3" fillId="0" fontId="7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3" width="11.0"/>
    <col customWidth="1" min="4" max="4" width="14.43"/>
    <col customWidth="1" min="5" max="5" width="19.0"/>
    <col customWidth="1" min="6" max="6" width="14.0"/>
    <col customWidth="1" min="7" max="7" width="16.86"/>
    <col customWidth="1" min="8" max="8" width="14.0"/>
    <col customWidth="1" min="9" max="9" width="13.0"/>
    <col customWidth="1" min="10" max="10" width="17.0"/>
    <col customWidth="1" min="11" max="11" width="8.0"/>
    <col customWidth="1" min="12" max="12" width="15.0"/>
    <col customWidth="1" min="13" max="13" width="12.0"/>
    <col customWidth="1" min="14" max="15" width="13.0"/>
    <col customWidth="1" min="16" max="16" width="14.0"/>
    <col customWidth="1" min="17" max="18" width="12.0"/>
    <col customWidth="1" min="19" max="19" width="14.0"/>
    <col customWidth="1" min="20" max="20" width="11.0"/>
    <col customWidth="1" min="21" max="21" width="14.0"/>
    <col customWidth="1" min="22" max="22" width="52.0"/>
    <col customWidth="1" min="23" max="26" width="8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23.25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6" t="s">
        <v>8</v>
      </c>
      <c r="H4" s="5" t="s">
        <v>9</v>
      </c>
      <c r="I4" s="5" t="s">
        <v>10</v>
      </c>
      <c r="J4" s="6" t="s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0" customHeight="1">
      <c r="A5" s="4" t="s">
        <v>12</v>
      </c>
      <c r="B5" s="7">
        <v>100.0</v>
      </c>
      <c r="C5" s="7">
        <v>3.0</v>
      </c>
      <c r="D5" s="7">
        <v>3000000.0</v>
      </c>
      <c r="E5" s="8">
        <f>1000000/B5</f>
        <v>10000</v>
      </c>
      <c r="F5" s="8">
        <f>E5*C5</f>
        <v>30000</v>
      </c>
      <c r="G5" s="8">
        <f>0.5*D5/E5</f>
        <v>150</v>
      </c>
      <c r="H5" s="8">
        <f>G5+2*D5/(E5+F5)</f>
        <v>300</v>
      </c>
      <c r="I5" s="8">
        <f>(F5-E5)/(H5-G5)</f>
        <v>133.3333333</v>
      </c>
      <c r="J5" s="8">
        <f>D5/H5</f>
        <v>10000</v>
      </c>
      <c r="K5" s="3" t="s">
        <v>13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5.0" customHeight="1">
      <c r="A6" s="2"/>
      <c r="B6" s="3" t="s">
        <v>14</v>
      </c>
      <c r="C6" s="2"/>
      <c r="D6" s="9">
        <f>H5</f>
        <v>300</v>
      </c>
      <c r="E6" s="3" t="s">
        <v>15</v>
      </c>
      <c r="F6" s="2"/>
      <c r="G6" s="10">
        <v>0.0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23.25" customHeight="1">
      <c r="A9" s="11" t="s">
        <v>16</v>
      </c>
      <c r="B9" s="11" t="s">
        <v>17</v>
      </c>
      <c r="C9" s="11" t="s">
        <v>18</v>
      </c>
      <c r="D9" s="11" t="s">
        <v>19</v>
      </c>
      <c r="E9" s="11" t="s">
        <v>20</v>
      </c>
      <c r="F9" s="11" t="s">
        <v>21</v>
      </c>
      <c r="G9" s="11" t="s">
        <v>22</v>
      </c>
      <c r="H9" s="11" t="s">
        <v>23</v>
      </c>
      <c r="I9" s="11" t="s">
        <v>24</v>
      </c>
      <c r="J9" s="11" t="s">
        <v>25</v>
      </c>
      <c r="K9" s="11" t="s">
        <v>26</v>
      </c>
      <c r="L9" s="11" t="s">
        <v>27</v>
      </c>
      <c r="M9" s="11" t="s">
        <v>28</v>
      </c>
      <c r="N9" s="11" t="s">
        <v>29</v>
      </c>
      <c r="O9" s="11" t="s">
        <v>30</v>
      </c>
      <c r="P9" s="11" t="s">
        <v>31</v>
      </c>
      <c r="Q9" s="11" t="s">
        <v>32</v>
      </c>
      <c r="R9" s="11" t="s">
        <v>33</v>
      </c>
      <c r="S9" s="11" t="s">
        <v>34</v>
      </c>
      <c r="T9" s="11" t="s">
        <v>35</v>
      </c>
      <c r="U9" s="11" t="s">
        <v>36</v>
      </c>
      <c r="V9" s="11" t="s">
        <v>37</v>
      </c>
    </row>
    <row r="10" ht="15.0" customHeight="1">
      <c r="A10" s="8">
        <v>1.0</v>
      </c>
      <c r="B10" s="7">
        <v>1.0</v>
      </c>
      <c r="C10" s="12">
        <v>0.0</v>
      </c>
      <c r="D10" s="13">
        <f>D6</f>
        <v>300</v>
      </c>
      <c r="E10" s="13">
        <f t="shared" ref="E10:E21" si="1">IF(C10&gt;F10,MIN($H$5,D10+(C10-F10)/$J$5),D10)</f>
        <v>300</v>
      </c>
      <c r="F10" s="13">
        <f>G6</f>
        <v>0</v>
      </c>
      <c r="G10" s="13">
        <f t="shared" ref="G10:G21" si="2">IF(C10&gt;F10,C10,F10)</f>
        <v>0</v>
      </c>
      <c r="H10" s="13">
        <f t="shared" ref="H10:H21" si="3">G10</f>
        <v>0</v>
      </c>
      <c r="I10" s="13">
        <f t="shared" ref="I10:I21" si="4">MAX(0,H10-C10)</f>
        <v>0</v>
      </c>
      <c r="J10" s="13">
        <f t="shared" ref="J10:J21" si="5">MIN(B10,E10)</f>
        <v>1</v>
      </c>
      <c r="K10" s="13">
        <f t="shared" ref="K10:K21" si="6">B10-J10</f>
        <v>0</v>
      </c>
      <c r="L10" s="13">
        <f t="shared" ref="L10:L21" si="7">MAX(0,E10-$G$5)</f>
        <v>150</v>
      </c>
      <c r="M10" s="13">
        <f t="shared" ref="M10:M21" si="8">MIN(J10,L10)</f>
        <v>1</v>
      </c>
      <c r="N10" s="13">
        <f t="shared" ref="N10:N21" si="9">IF(E10&lt;=$G$5,$E$5,$E$5+(E10-$G$5)*$I$5)</f>
        <v>30000</v>
      </c>
      <c r="O10" s="13">
        <f t="shared" ref="O10:O21" si="10">IF((E10-M10)&lt;=$G$5,$E$5,$E$5+((E10-M10)-$G$5)*$I$5)</f>
        <v>29866.66667</v>
      </c>
      <c r="P10" s="13">
        <f t="shared" ref="P10:P21" si="11">M10*(N10+O10)/2</f>
        <v>29933.33333</v>
      </c>
      <c r="Q10" s="13">
        <f t="shared" ref="Q10:Q21" si="12">(J10-M10)*$E$5</f>
        <v>0</v>
      </c>
      <c r="R10" s="13">
        <f t="shared" ref="R10:R21" si="13">K10*$E$5</f>
        <v>0</v>
      </c>
      <c r="S10" s="14">
        <f t="shared" ref="S10:S21" si="14">P10+Q10+R10</f>
        <v>29933.33333</v>
      </c>
      <c r="T10" s="14">
        <f t="shared" ref="T10:T21" si="15">E10-J10</f>
        <v>299</v>
      </c>
      <c r="U10" s="14">
        <f t="shared" ref="U10:U21" si="16">G10+S10</f>
        <v>29933.33333</v>
      </c>
      <c r="V10" s="15" t="s">
        <v>38</v>
      </c>
    </row>
    <row r="11" ht="15.0" customHeight="1">
      <c r="A11" s="8">
        <v>2.0</v>
      </c>
      <c r="B11" s="7">
        <v>1.0</v>
      </c>
      <c r="C11" s="12">
        <v>0.0</v>
      </c>
      <c r="D11" s="13">
        <f t="shared" ref="D11:D21" si="17">T10</f>
        <v>299</v>
      </c>
      <c r="E11" s="13">
        <f t="shared" si="1"/>
        <v>299</v>
      </c>
      <c r="F11" s="13">
        <f t="shared" ref="F11:F21" si="18">U10</f>
        <v>29933.33333</v>
      </c>
      <c r="G11" s="13">
        <f t="shared" si="2"/>
        <v>29933.33333</v>
      </c>
      <c r="H11" s="13">
        <f t="shared" si="3"/>
        <v>29933.33333</v>
      </c>
      <c r="I11" s="13">
        <f t="shared" si="4"/>
        <v>29933.33333</v>
      </c>
      <c r="J11" s="13">
        <f t="shared" si="5"/>
        <v>1</v>
      </c>
      <c r="K11" s="13">
        <f t="shared" si="6"/>
        <v>0</v>
      </c>
      <c r="L11" s="13">
        <f t="shared" si="7"/>
        <v>149</v>
      </c>
      <c r="M11" s="13">
        <f t="shared" si="8"/>
        <v>1</v>
      </c>
      <c r="N11" s="13">
        <f t="shared" si="9"/>
        <v>29866.66667</v>
      </c>
      <c r="O11" s="13">
        <f t="shared" si="10"/>
        <v>29733.33333</v>
      </c>
      <c r="P11" s="13">
        <f t="shared" si="11"/>
        <v>29800</v>
      </c>
      <c r="Q11" s="13">
        <f t="shared" si="12"/>
        <v>0</v>
      </c>
      <c r="R11" s="13">
        <f t="shared" si="13"/>
        <v>0</v>
      </c>
      <c r="S11" s="14">
        <f t="shared" si="14"/>
        <v>29800</v>
      </c>
      <c r="T11" s="14">
        <f t="shared" si="15"/>
        <v>298</v>
      </c>
      <c r="U11" s="14">
        <f t="shared" si="16"/>
        <v>59733.33333</v>
      </c>
      <c r="V11" s="15" t="s">
        <v>39</v>
      </c>
    </row>
    <row r="12" ht="15.0" customHeight="1">
      <c r="A12" s="8">
        <v>3.0</v>
      </c>
      <c r="B12" s="7">
        <v>1.0</v>
      </c>
      <c r="C12" s="12">
        <v>0.0</v>
      </c>
      <c r="D12" s="13">
        <f t="shared" si="17"/>
        <v>298</v>
      </c>
      <c r="E12" s="13">
        <f t="shared" si="1"/>
        <v>298</v>
      </c>
      <c r="F12" s="13">
        <f t="shared" si="18"/>
        <v>59733.33333</v>
      </c>
      <c r="G12" s="13">
        <f t="shared" si="2"/>
        <v>59733.33333</v>
      </c>
      <c r="H12" s="13">
        <f t="shared" si="3"/>
        <v>59733.33333</v>
      </c>
      <c r="I12" s="13">
        <f t="shared" si="4"/>
        <v>59733.33333</v>
      </c>
      <c r="J12" s="13">
        <f t="shared" si="5"/>
        <v>1</v>
      </c>
      <c r="K12" s="13">
        <f t="shared" si="6"/>
        <v>0</v>
      </c>
      <c r="L12" s="13">
        <f t="shared" si="7"/>
        <v>148</v>
      </c>
      <c r="M12" s="13">
        <f t="shared" si="8"/>
        <v>1</v>
      </c>
      <c r="N12" s="13">
        <f t="shared" si="9"/>
        <v>29733.33333</v>
      </c>
      <c r="O12" s="13">
        <f t="shared" si="10"/>
        <v>29600</v>
      </c>
      <c r="P12" s="13">
        <f t="shared" si="11"/>
        <v>29666.66667</v>
      </c>
      <c r="Q12" s="13">
        <f t="shared" si="12"/>
        <v>0</v>
      </c>
      <c r="R12" s="13">
        <f t="shared" si="13"/>
        <v>0</v>
      </c>
      <c r="S12" s="14">
        <f t="shared" si="14"/>
        <v>29666.66667</v>
      </c>
      <c r="T12" s="14">
        <f t="shared" si="15"/>
        <v>297</v>
      </c>
      <c r="U12" s="14">
        <f t="shared" si="16"/>
        <v>89400</v>
      </c>
      <c r="V12" s="15" t="s">
        <v>40</v>
      </c>
    </row>
    <row r="13" ht="15.0" customHeight="1">
      <c r="A13" s="8">
        <v>4.0</v>
      </c>
      <c r="B13" s="7">
        <v>1.0</v>
      </c>
      <c r="C13" s="12">
        <v>100000.0</v>
      </c>
      <c r="D13" s="13">
        <f t="shared" si="17"/>
        <v>297</v>
      </c>
      <c r="E13" s="13">
        <f t="shared" si="1"/>
        <v>298.06</v>
      </c>
      <c r="F13" s="13">
        <f t="shared" si="18"/>
        <v>89400</v>
      </c>
      <c r="G13" s="13">
        <f t="shared" si="2"/>
        <v>100000</v>
      </c>
      <c r="H13" s="13">
        <f t="shared" si="3"/>
        <v>100000</v>
      </c>
      <c r="I13" s="13">
        <f t="shared" si="4"/>
        <v>0</v>
      </c>
      <c r="J13" s="13">
        <f t="shared" si="5"/>
        <v>1</v>
      </c>
      <c r="K13" s="13">
        <f t="shared" si="6"/>
        <v>0</v>
      </c>
      <c r="L13" s="13">
        <f t="shared" si="7"/>
        <v>148.06</v>
      </c>
      <c r="M13" s="13">
        <f t="shared" si="8"/>
        <v>1</v>
      </c>
      <c r="N13" s="13">
        <f t="shared" si="9"/>
        <v>29741.33333</v>
      </c>
      <c r="O13" s="13">
        <f t="shared" si="10"/>
        <v>29608</v>
      </c>
      <c r="P13" s="13">
        <f t="shared" si="11"/>
        <v>29674.66667</v>
      </c>
      <c r="Q13" s="13">
        <f t="shared" si="12"/>
        <v>0</v>
      </c>
      <c r="R13" s="13">
        <f t="shared" si="13"/>
        <v>0</v>
      </c>
      <c r="S13" s="14">
        <f t="shared" si="14"/>
        <v>29674.66667</v>
      </c>
      <c r="T13" s="14">
        <f t="shared" si="15"/>
        <v>297.06</v>
      </c>
      <c r="U13" s="14">
        <f t="shared" si="16"/>
        <v>129674.6667</v>
      </c>
      <c r="V13" s="15" t="s">
        <v>41</v>
      </c>
    </row>
    <row r="14" ht="15.0" customHeight="1">
      <c r="A14" s="8">
        <v>5.0</v>
      </c>
      <c r="B14" s="7">
        <v>1.0</v>
      </c>
      <c r="C14" s="12">
        <v>100000.0</v>
      </c>
      <c r="D14" s="13">
        <f t="shared" si="17"/>
        <v>297.06</v>
      </c>
      <c r="E14" s="13">
        <f t="shared" si="1"/>
        <v>297.06</v>
      </c>
      <c r="F14" s="13">
        <f t="shared" si="18"/>
        <v>129674.6667</v>
      </c>
      <c r="G14" s="13">
        <f t="shared" si="2"/>
        <v>129674.6667</v>
      </c>
      <c r="H14" s="13">
        <f t="shared" si="3"/>
        <v>129674.6667</v>
      </c>
      <c r="I14" s="13">
        <f t="shared" si="4"/>
        <v>29674.66667</v>
      </c>
      <c r="J14" s="13">
        <f t="shared" si="5"/>
        <v>1</v>
      </c>
      <c r="K14" s="13">
        <f t="shared" si="6"/>
        <v>0</v>
      </c>
      <c r="L14" s="13">
        <f t="shared" si="7"/>
        <v>147.06</v>
      </c>
      <c r="M14" s="13">
        <f t="shared" si="8"/>
        <v>1</v>
      </c>
      <c r="N14" s="13">
        <f t="shared" si="9"/>
        <v>29608</v>
      </c>
      <c r="O14" s="13">
        <f t="shared" si="10"/>
        <v>29474.66667</v>
      </c>
      <c r="P14" s="13">
        <f t="shared" si="11"/>
        <v>29541.33333</v>
      </c>
      <c r="Q14" s="13">
        <f t="shared" si="12"/>
        <v>0</v>
      </c>
      <c r="R14" s="13">
        <f t="shared" si="13"/>
        <v>0</v>
      </c>
      <c r="S14" s="14">
        <f t="shared" si="14"/>
        <v>29541.33333</v>
      </c>
      <c r="T14" s="14">
        <f t="shared" si="15"/>
        <v>296.06</v>
      </c>
      <c r="U14" s="14">
        <f t="shared" si="16"/>
        <v>159216</v>
      </c>
      <c r="V14" s="15" t="s">
        <v>42</v>
      </c>
    </row>
    <row r="15" ht="15.0" customHeight="1">
      <c r="A15" s="16">
        <v>6.0</v>
      </c>
      <c r="B15" s="17">
        <v>160.0</v>
      </c>
      <c r="C15" s="18">
        <v>200000.0</v>
      </c>
      <c r="D15" s="19">
        <f t="shared" si="17"/>
        <v>296.06</v>
      </c>
      <c r="E15" s="19">
        <f t="shared" si="1"/>
        <v>300</v>
      </c>
      <c r="F15" s="19">
        <f t="shared" si="18"/>
        <v>159216</v>
      </c>
      <c r="G15" s="19">
        <f t="shared" si="2"/>
        <v>200000</v>
      </c>
      <c r="H15" s="19">
        <f t="shared" si="3"/>
        <v>200000</v>
      </c>
      <c r="I15" s="19">
        <f t="shared" si="4"/>
        <v>0</v>
      </c>
      <c r="J15" s="19">
        <f t="shared" si="5"/>
        <v>160</v>
      </c>
      <c r="K15" s="19">
        <f t="shared" si="6"/>
        <v>0</v>
      </c>
      <c r="L15" s="19">
        <f t="shared" si="7"/>
        <v>150</v>
      </c>
      <c r="M15" s="19">
        <f t="shared" si="8"/>
        <v>150</v>
      </c>
      <c r="N15" s="19">
        <f t="shared" si="9"/>
        <v>30000</v>
      </c>
      <c r="O15" s="19">
        <f t="shared" si="10"/>
        <v>10000</v>
      </c>
      <c r="P15" s="19">
        <f t="shared" si="11"/>
        <v>3000000</v>
      </c>
      <c r="Q15" s="19">
        <f t="shared" si="12"/>
        <v>100000</v>
      </c>
      <c r="R15" s="19">
        <f t="shared" si="13"/>
        <v>0</v>
      </c>
      <c r="S15" s="20">
        <f t="shared" si="14"/>
        <v>3100000</v>
      </c>
      <c r="T15" s="20">
        <f t="shared" si="15"/>
        <v>140</v>
      </c>
      <c r="U15" s="20">
        <f t="shared" si="16"/>
        <v>3300000</v>
      </c>
      <c r="V15" s="15" t="s">
        <v>43</v>
      </c>
    </row>
    <row r="16" ht="15.0" customHeight="1">
      <c r="A16" s="8">
        <v>7.0</v>
      </c>
      <c r="B16" s="7">
        <v>1.0</v>
      </c>
      <c r="C16" s="12">
        <v>200000.0</v>
      </c>
      <c r="D16" s="13">
        <f t="shared" si="17"/>
        <v>140</v>
      </c>
      <c r="E16" s="13">
        <f t="shared" si="1"/>
        <v>140</v>
      </c>
      <c r="F16" s="13">
        <f t="shared" si="18"/>
        <v>3300000</v>
      </c>
      <c r="G16" s="13">
        <f t="shared" si="2"/>
        <v>3300000</v>
      </c>
      <c r="H16" s="13">
        <f t="shared" si="3"/>
        <v>3300000</v>
      </c>
      <c r="I16" s="13">
        <f t="shared" si="4"/>
        <v>3100000</v>
      </c>
      <c r="J16" s="13">
        <f t="shared" si="5"/>
        <v>1</v>
      </c>
      <c r="K16" s="13">
        <f t="shared" si="6"/>
        <v>0</v>
      </c>
      <c r="L16" s="13">
        <f t="shared" si="7"/>
        <v>0</v>
      </c>
      <c r="M16" s="13">
        <f t="shared" si="8"/>
        <v>0</v>
      </c>
      <c r="N16" s="13">
        <f t="shared" si="9"/>
        <v>10000</v>
      </c>
      <c r="O16" s="13">
        <f t="shared" si="10"/>
        <v>10000</v>
      </c>
      <c r="P16" s="13">
        <f t="shared" si="11"/>
        <v>0</v>
      </c>
      <c r="Q16" s="13">
        <f t="shared" si="12"/>
        <v>10000</v>
      </c>
      <c r="R16" s="13">
        <f t="shared" si="13"/>
        <v>0</v>
      </c>
      <c r="S16" s="14">
        <f t="shared" si="14"/>
        <v>10000</v>
      </c>
      <c r="T16" s="14">
        <f t="shared" si="15"/>
        <v>139</v>
      </c>
      <c r="U16" s="14">
        <f t="shared" si="16"/>
        <v>3310000</v>
      </c>
      <c r="V16" s="15" t="s">
        <v>44</v>
      </c>
    </row>
    <row r="17" ht="15.0" customHeight="1">
      <c r="A17" s="8">
        <v>8.0</v>
      </c>
      <c r="B17" s="7">
        <v>1.0</v>
      </c>
      <c r="C17" s="12">
        <v>200000.0</v>
      </c>
      <c r="D17" s="13">
        <f t="shared" si="17"/>
        <v>139</v>
      </c>
      <c r="E17" s="13">
        <f t="shared" si="1"/>
        <v>139</v>
      </c>
      <c r="F17" s="13">
        <f t="shared" si="18"/>
        <v>3310000</v>
      </c>
      <c r="G17" s="13">
        <f t="shared" si="2"/>
        <v>3310000</v>
      </c>
      <c r="H17" s="13">
        <f t="shared" si="3"/>
        <v>3310000</v>
      </c>
      <c r="I17" s="13">
        <f t="shared" si="4"/>
        <v>3110000</v>
      </c>
      <c r="J17" s="13">
        <f t="shared" si="5"/>
        <v>1</v>
      </c>
      <c r="K17" s="13">
        <f t="shared" si="6"/>
        <v>0</v>
      </c>
      <c r="L17" s="13">
        <f t="shared" si="7"/>
        <v>0</v>
      </c>
      <c r="M17" s="13">
        <f t="shared" si="8"/>
        <v>0</v>
      </c>
      <c r="N17" s="13">
        <f t="shared" si="9"/>
        <v>10000</v>
      </c>
      <c r="O17" s="13">
        <f t="shared" si="10"/>
        <v>10000</v>
      </c>
      <c r="P17" s="13">
        <f t="shared" si="11"/>
        <v>0</v>
      </c>
      <c r="Q17" s="13">
        <f t="shared" si="12"/>
        <v>10000</v>
      </c>
      <c r="R17" s="13">
        <f t="shared" si="13"/>
        <v>0</v>
      </c>
      <c r="S17" s="14">
        <f t="shared" si="14"/>
        <v>10000</v>
      </c>
      <c r="T17" s="14">
        <f t="shared" si="15"/>
        <v>138</v>
      </c>
      <c r="U17" s="14">
        <f t="shared" si="16"/>
        <v>3320000</v>
      </c>
      <c r="V17" s="15" t="s">
        <v>45</v>
      </c>
    </row>
    <row r="18" ht="15.0" customHeight="1">
      <c r="A18" s="16">
        <v>9.0</v>
      </c>
      <c r="B18" s="17">
        <v>1.0</v>
      </c>
      <c r="C18" s="18">
        <v>5000000.0</v>
      </c>
      <c r="D18" s="19">
        <f t="shared" si="17"/>
        <v>138</v>
      </c>
      <c r="E18" s="19">
        <f t="shared" si="1"/>
        <v>300</v>
      </c>
      <c r="F18" s="19">
        <f t="shared" si="18"/>
        <v>3320000</v>
      </c>
      <c r="G18" s="19">
        <f t="shared" si="2"/>
        <v>5000000</v>
      </c>
      <c r="H18" s="19">
        <f t="shared" si="3"/>
        <v>5000000</v>
      </c>
      <c r="I18" s="19">
        <f t="shared" si="4"/>
        <v>0</v>
      </c>
      <c r="J18" s="19">
        <f t="shared" si="5"/>
        <v>1</v>
      </c>
      <c r="K18" s="19">
        <f t="shared" si="6"/>
        <v>0</v>
      </c>
      <c r="L18" s="19">
        <f t="shared" si="7"/>
        <v>150</v>
      </c>
      <c r="M18" s="19">
        <f t="shared" si="8"/>
        <v>1</v>
      </c>
      <c r="N18" s="19">
        <f t="shared" si="9"/>
        <v>30000</v>
      </c>
      <c r="O18" s="19">
        <f t="shared" si="10"/>
        <v>29866.66667</v>
      </c>
      <c r="P18" s="19">
        <f t="shared" si="11"/>
        <v>29933.33333</v>
      </c>
      <c r="Q18" s="19">
        <f t="shared" si="12"/>
        <v>0</v>
      </c>
      <c r="R18" s="19">
        <f t="shared" si="13"/>
        <v>0</v>
      </c>
      <c r="S18" s="20">
        <f t="shared" si="14"/>
        <v>29933.33333</v>
      </c>
      <c r="T18" s="20">
        <f t="shared" si="15"/>
        <v>299</v>
      </c>
      <c r="U18" s="20">
        <f t="shared" si="16"/>
        <v>5029933.333</v>
      </c>
      <c r="V18" s="15" t="s">
        <v>46</v>
      </c>
    </row>
    <row r="19" ht="15.0" customHeight="1">
      <c r="A19" s="16">
        <v>10.0</v>
      </c>
      <c r="B19" s="17">
        <v>400.0</v>
      </c>
      <c r="C19" s="18">
        <v>5000000.0</v>
      </c>
      <c r="D19" s="19">
        <f t="shared" si="17"/>
        <v>299</v>
      </c>
      <c r="E19" s="19">
        <f t="shared" si="1"/>
        <v>299</v>
      </c>
      <c r="F19" s="19">
        <f t="shared" si="18"/>
        <v>5029933.333</v>
      </c>
      <c r="G19" s="19">
        <f t="shared" si="2"/>
        <v>5029933.333</v>
      </c>
      <c r="H19" s="19">
        <f t="shared" si="3"/>
        <v>5029933.333</v>
      </c>
      <c r="I19" s="19">
        <f t="shared" si="4"/>
        <v>29933.33333</v>
      </c>
      <c r="J19" s="19">
        <f t="shared" si="5"/>
        <v>299</v>
      </c>
      <c r="K19" s="19">
        <f t="shared" si="6"/>
        <v>101</v>
      </c>
      <c r="L19" s="19">
        <f t="shared" si="7"/>
        <v>149</v>
      </c>
      <c r="M19" s="19">
        <f t="shared" si="8"/>
        <v>149</v>
      </c>
      <c r="N19" s="19">
        <f t="shared" si="9"/>
        <v>29866.66667</v>
      </c>
      <c r="O19" s="19">
        <f t="shared" si="10"/>
        <v>10000</v>
      </c>
      <c r="P19" s="19">
        <f t="shared" si="11"/>
        <v>2970066.667</v>
      </c>
      <c r="Q19" s="19">
        <f t="shared" si="12"/>
        <v>1500000</v>
      </c>
      <c r="R19" s="19">
        <f t="shared" si="13"/>
        <v>1010000</v>
      </c>
      <c r="S19" s="20">
        <f t="shared" si="14"/>
        <v>5480066.667</v>
      </c>
      <c r="T19" s="20">
        <f t="shared" si="15"/>
        <v>0</v>
      </c>
      <c r="U19" s="20">
        <f t="shared" si="16"/>
        <v>10510000</v>
      </c>
      <c r="V19" s="15" t="s">
        <v>47</v>
      </c>
    </row>
    <row r="20" ht="15.0" customHeight="1">
      <c r="A20" s="8">
        <v>11.0</v>
      </c>
      <c r="B20" s="7">
        <v>1.0</v>
      </c>
      <c r="C20" s="12">
        <v>5000000.0</v>
      </c>
      <c r="D20" s="13">
        <f t="shared" si="17"/>
        <v>0</v>
      </c>
      <c r="E20" s="13">
        <f t="shared" si="1"/>
        <v>0</v>
      </c>
      <c r="F20" s="13">
        <f t="shared" si="18"/>
        <v>10510000</v>
      </c>
      <c r="G20" s="13">
        <f t="shared" si="2"/>
        <v>10510000</v>
      </c>
      <c r="H20" s="13">
        <f t="shared" si="3"/>
        <v>10510000</v>
      </c>
      <c r="I20" s="13">
        <f t="shared" si="4"/>
        <v>5510000</v>
      </c>
      <c r="J20" s="13">
        <f t="shared" si="5"/>
        <v>0</v>
      </c>
      <c r="K20" s="13">
        <f t="shared" si="6"/>
        <v>1</v>
      </c>
      <c r="L20" s="13">
        <f t="shared" si="7"/>
        <v>0</v>
      </c>
      <c r="M20" s="13">
        <f t="shared" si="8"/>
        <v>0</v>
      </c>
      <c r="N20" s="13">
        <f t="shared" si="9"/>
        <v>10000</v>
      </c>
      <c r="O20" s="13">
        <f t="shared" si="10"/>
        <v>10000</v>
      </c>
      <c r="P20" s="13">
        <f t="shared" si="11"/>
        <v>0</v>
      </c>
      <c r="Q20" s="13">
        <f t="shared" si="12"/>
        <v>0</v>
      </c>
      <c r="R20" s="13">
        <f t="shared" si="13"/>
        <v>10000</v>
      </c>
      <c r="S20" s="14">
        <f t="shared" si="14"/>
        <v>10000</v>
      </c>
      <c r="T20" s="14">
        <f t="shared" si="15"/>
        <v>0</v>
      </c>
      <c r="U20" s="14">
        <f t="shared" si="16"/>
        <v>10520000</v>
      </c>
      <c r="V20" s="15" t="s">
        <v>48</v>
      </c>
    </row>
    <row r="21" ht="15.0" customHeight="1">
      <c r="A21" s="8">
        <v>12.0</v>
      </c>
      <c r="B21" s="7">
        <v>1.0</v>
      </c>
      <c r="C21" s="12">
        <v>5000000.0</v>
      </c>
      <c r="D21" s="13">
        <f t="shared" si="17"/>
        <v>0</v>
      </c>
      <c r="E21" s="13">
        <f t="shared" si="1"/>
        <v>0</v>
      </c>
      <c r="F21" s="13">
        <f t="shared" si="18"/>
        <v>10520000</v>
      </c>
      <c r="G21" s="13">
        <f t="shared" si="2"/>
        <v>10520000</v>
      </c>
      <c r="H21" s="13">
        <f t="shared" si="3"/>
        <v>10520000</v>
      </c>
      <c r="I21" s="13">
        <f t="shared" si="4"/>
        <v>5520000</v>
      </c>
      <c r="J21" s="13">
        <f t="shared" si="5"/>
        <v>0</v>
      </c>
      <c r="K21" s="13">
        <f t="shared" si="6"/>
        <v>1</v>
      </c>
      <c r="L21" s="13">
        <f t="shared" si="7"/>
        <v>0</v>
      </c>
      <c r="M21" s="13">
        <f t="shared" si="8"/>
        <v>0</v>
      </c>
      <c r="N21" s="13">
        <f t="shared" si="9"/>
        <v>10000</v>
      </c>
      <c r="O21" s="13">
        <f t="shared" si="10"/>
        <v>10000</v>
      </c>
      <c r="P21" s="13">
        <f t="shared" si="11"/>
        <v>0</v>
      </c>
      <c r="Q21" s="13">
        <f t="shared" si="12"/>
        <v>0</v>
      </c>
      <c r="R21" s="13">
        <f t="shared" si="13"/>
        <v>10000</v>
      </c>
      <c r="S21" s="14">
        <f t="shared" si="14"/>
        <v>10000</v>
      </c>
      <c r="T21" s="14">
        <f t="shared" si="15"/>
        <v>0</v>
      </c>
      <c r="U21" s="14">
        <f t="shared" si="16"/>
        <v>10530000</v>
      </c>
      <c r="V21" s="15" t="s">
        <v>49</v>
      </c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5.0" customHeight="1">
      <c r="A24" s="21" t="s">
        <v>50</v>
      </c>
      <c r="B24" s="22"/>
      <c r="C24" s="22"/>
      <c r="D24" s="21" t="s">
        <v>51</v>
      </c>
      <c r="E24" s="21" t="s">
        <v>52</v>
      </c>
      <c r="F24" s="21" t="s">
        <v>53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23" t="s">
        <v>54</v>
      </c>
      <c r="B25" s="24"/>
      <c r="C25" s="25"/>
      <c r="D25" s="26">
        <f>(H5-G5)*(E5+F5)/2</f>
        <v>3000000</v>
      </c>
      <c r="E25" s="26">
        <f>D5</f>
        <v>3000000</v>
      </c>
      <c r="F25" s="21" t="str">
        <f t="shared" ref="F25:F32" si="19">IF(ABS(D25-E25)&lt;0.0001,"PASS","FAIL")</f>
        <v>PASS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.0" customHeight="1">
      <c r="A26" s="23" t="s">
        <v>55</v>
      </c>
      <c r="B26" s="24"/>
      <c r="C26" s="25"/>
      <c r="D26" s="26">
        <f>G5*E5</f>
        <v>1500000</v>
      </c>
      <c r="E26" s="26">
        <f>D5/2</f>
        <v>1500000</v>
      </c>
      <c r="F26" s="21" t="str">
        <f t="shared" si="19"/>
        <v>PASS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5.0" customHeight="1">
      <c r="A27" s="23" t="s">
        <v>56</v>
      </c>
      <c r="B27" s="24"/>
      <c r="C27" s="25"/>
      <c r="D27" s="26">
        <f>E5+(H5-G5)*I5</f>
        <v>30000</v>
      </c>
      <c r="E27" s="26">
        <f>F5</f>
        <v>30000</v>
      </c>
      <c r="F27" s="21" t="str">
        <f t="shared" si="19"/>
        <v>PASS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.0" customHeight="1">
      <c r="A28" s="23" t="s">
        <v>57</v>
      </c>
      <c r="B28" s="24"/>
      <c r="C28" s="25"/>
      <c r="D28" s="26">
        <f>E5</f>
        <v>10000</v>
      </c>
      <c r="E28" s="26">
        <f>E5</f>
        <v>10000</v>
      </c>
      <c r="F28" s="21" t="str">
        <f t="shared" si="19"/>
        <v>PASS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5.0" customHeight="1">
      <c r="A29" s="23" t="s">
        <v>58</v>
      </c>
      <c r="B29" s="24"/>
      <c r="C29" s="25"/>
      <c r="D29" s="27">
        <f>P15</f>
        <v>3000000</v>
      </c>
      <c r="E29" s="26">
        <f>D5</f>
        <v>3000000</v>
      </c>
      <c r="F29" s="21" t="str">
        <f t="shared" si="19"/>
        <v>PASS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5.0" customHeight="1">
      <c r="A30" s="23" t="s">
        <v>59</v>
      </c>
      <c r="B30" s="24"/>
      <c r="C30" s="25"/>
      <c r="D30" s="27">
        <f>S16</f>
        <v>10000</v>
      </c>
      <c r="E30" s="26">
        <f>E5</f>
        <v>10000</v>
      </c>
      <c r="F30" s="21" t="str">
        <f t="shared" si="19"/>
        <v>PASS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5.0" customHeight="1">
      <c r="A31" s="23" t="s">
        <v>60</v>
      </c>
      <c r="B31" s="24"/>
      <c r="C31" s="25"/>
      <c r="D31" s="27">
        <f>E18</f>
        <v>300</v>
      </c>
      <c r="E31" s="26">
        <f>H5</f>
        <v>300</v>
      </c>
      <c r="F31" s="21" t="str">
        <f t="shared" si="19"/>
        <v>PASS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5.0" customHeight="1">
      <c r="A32" s="23" t="s">
        <v>61</v>
      </c>
      <c r="B32" s="24"/>
      <c r="C32" s="25"/>
      <c r="D32" s="27">
        <f>S20</f>
        <v>10000</v>
      </c>
      <c r="E32" s="26">
        <f>E5</f>
        <v>10000</v>
      </c>
      <c r="F32" s="21" t="str">
        <f t="shared" si="19"/>
        <v>PASS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5.0" customHeight="1">
      <c r="A33" s="23" t="s">
        <v>62</v>
      </c>
      <c r="B33" s="24"/>
      <c r="C33" s="25"/>
      <c r="D33" s="27">
        <f>MIN(U11-U10,U12-U11,U13-U12,U14-U13,U15-U14,U16-U15,U17-U16,U18-U17,U19-U18,U20-U19,U21-U20)</f>
        <v>10000</v>
      </c>
      <c r="E33" s="22"/>
      <c r="F33" s="21" t="str">
        <f>IF(D33&gt;=0,"PASS","FAIL")</f>
        <v>PASS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5.0" customHeight="1">
      <c r="A34" s="23" t="s">
        <v>63</v>
      </c>
      <c r="B34" s="24"/>
      <c r="C34" s="25"/>
      <c r="D34" s="27">
        <f>MAX(T10:T21)</f>
        <v>299</v>
      </c>
      <c r="E34" s="26">
        <f>H5</f>
        <v>300</v>
      </c>
      <c r="F34" s="21" t="str">
        <f>IF(D34&lt;=E34,"PASS","FAIL")</f>
        <v>PASS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5.0" customHeight="1">
      <c r="A35" s="23" t="s">
        <v>64</v>
      </c>
      <c r="B35" s="24"/>
      <c r="C35" s="25"/>
      <c r="D35" s="27">
        <f>MIN(T10:T21)</f>
        <v>0</v>
      </c>
      <c r="E35" s="22"/>
      <c r="F35" s="21" t="str">
        <f>IF(D35&gt;=0,"PASS","FAIL")</f>
        <v>PASS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0" customHeight="1">
      <c r="A37" s="3" t="s">
        <v>65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.0" customHeight="1">
      <c r="A38" s="3" t="s">
        <v>66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mergeCells count="11">
    <mergeCell ref="A32:C32"/>
    <mergeCell ref="A33:C33"/>
    <mergeCell ref="A34:C34"/>
    <mergeCell ref="A35:C35"/>
    <mergeCell ref="A25:C25"/>
    <mergeCell ref="A26:C26"/>
    <mergeCell ref="A27:C27"/>
    <mergeCell ref="A28:C28"/>
    <mergeCell ref="A29:C29"/>
    <mergeCell ref="A30:C30"/>
    <mergeCell ref="A31:C31"/>
  </mergeCells>
  <conditionalFormatting sqref="C10:U21">
    <cfRule type="notContainsBlanks" dxfId="0" priority="1">
      <formula>LEN(TRIM(C10))&gt;0</formula>
    </cfRule>
  </conditionalFormatting>
  <printOptions/>
  <pageMargins bottom="1.0" footer="0.0" header="0.0" left="0.75" right="0.75" top="1.0"/>
  <pageSetup paperSize="9" orientation="portrait"/>
  <drawing r:id="rId1"/>
</worksheet>
</file>