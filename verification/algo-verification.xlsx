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<sst xmlns="http://schemas.openxmlformats.org/spreadsheetml/2006/main" count="28" uniqueCount="28">
  <si>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stableRate</t>
  </si>
  <si>
    <t>coldFactor</t>
  </si>
  <si>
    <t>warmupPeriod</t>
  </si>
  <si>
    <t>stableInterval</t>
  </si>
  <si>
    <t>coldInterval</t>
  </si>
  <si>
    <t>thresholdPermits</t>
  </si>
  <si>
    <t>maxPermits</t>
  </si>
  <si>
    <t>slope</t>
  </si>
  <si>
    <t>coolDownInterval</t>
  </si>
  <si>
    <t>now</t>
  </si>
  <si>
    <t>stored_in</t>
  </si>
  <si>
    <t>stored_after_resync</t>
  </si>
  <si>
    <t>grantTime</t>
  </si>
  <si>
    <t>wait</t>
  </si>
  <si>
    <t>height_hi</t>
  </si>
  <si>
    <t>height_lo</t>
  </si>
  <si>
    <t>cost</t>
  </si>
  <si>
    <t>stored_out</t>
  </si>
  <si>
    <t>nextFree_out</t>
  </si>
  <si>
    <t>Limiter had a debt out to 89,400microsecs, but caller arrived at time &gt; than it. The debt expired and idle time cleared it.</t>
  </si>
  <si>
    <t>Draining 300 → 150 should take exactly warmupPeriod:</t>
  </si>
  <si>
    <t>150 × (10,000 + 30,000) / 2 = 3,000,000 µs ✓ = 3s</t>
  </si>
  <si>
    <t>Draining 150 → 0 should take warmupPeriod / 2:</t>
  </si>
  <si>
    <t>150 × 10,000 = 1,500,000 µs ✓ = 1.5s</t>
  </si>
  <si>
    <t>intervalAt(300) must equal coldInterval: 30,000 ✓</t>
  </si>
  <si>
    <t>intervalAt(150) must equal stableInterval: 10,000 ✓</t>
  </si>
  <si>
    <t>intervalAt(x) = 10,000                            if x ≤ 150</t>
  </si>
  <si>
    <t>intervalAt(x) = 10,000+ (x-150)*slope    if x ≤ 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</si>
</sst>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ck">
        <color rgb="FFCC0000"/>
      </left>
      <right style="thick">
        <color rgb="FFCC0000"/>
      </right>
      <top style="thick">
        <color rgb="FFCC0000"/>
      </top>
      <bottom style="thick">
        <color rgb="FFCC0000"/>
      </bottom>
    </border>
    <border>
      <left style="thick">
        <color rgb="FFCC0000"/>
      </left>
      <top style="thick">
        <color rgb="FFCC0000"/>
      </top>
      <bottom style="thick">
        <color rgb="FFCC0000"/>
      </bottom>
    </border>
    <border>
      <top style="thick">
        <color rgb="FFCC0000"/>
      </top>
      <bottom style="thick">
        <color rgb="FFCC0000"/>
      </bottom>
    </border>
    <border>
      <right style="thick">
        <color rgb="FFCC0000"/>
      </right>
      <top style="thick">
        <color rgb="FFCC0000"/>
      </top>
      <bottom style="thick">
        <color rgb="FFCC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16.63"/>
    <col customWidth="1" min="4" max="4" width="12.63"/>
    <col customWidth="1" min="5" max="5" width="10.38"/>
    <col customWidth="1" min="6" max="6" width="14.75"/>
    <col customWidth="1" min="7" max="7" width="10.38"/>
    <col customWidth="1" min="8" max="8" width="10.75"/>
    <col customWidth="1" min="9" max="9" width="14.88"/>
    <col customWidth="1" min="10" max="10" width="11.5"/>
    <col customWidth="1" min="11" max="1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100.0</v>
      </c>
      <c r="B2" s="2">
        <v>3.0</v>
      </c>
      <c r="C2" s="2">
        <v>3.0</v>
      </c>
      <c r="D2" s="2">
        <f>1000000/A2</f>
        <v>10000</v>
      </c>
      <c r="E2" s="2">
        <f>D2*B2</f>
        <v>30000</v>
      </c>
      <c r="F2" s="2">
        <f>0.5*C2/D2*1000000</f>
        <v>150</v>
      </c>
      <c r="G2" s="2">
        <f>F2+(2*C2*1000000)/(D2+E2)</f>
        <v>300</v>
      </c>
      <c r="H2" s="2">
        <f>(E2-D2)/(G2-F2)</f>
        <v>133.3333333</v>
      </c>
      <c r="I2" s="3">
        <f>C2*1000000/G2</f>
        <v>10000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>
      <c r="A5" s="2">
        <v>0.0</v>
      </c>
      <c r="B5" s="2">
        <v>300.0</v>
      </c>
      <c r="C5" s="2">
        <v>300.0</v>
      </c>
      <c r="D5" s="2">
        <v>0.0</v>
      </c>
      <c r="E5" s="2">
        <v>0.0</v>
      </c>
      <c r="F5" s="2">
        <f>10000+(B5-150)*H2</f>
        <v>30000</v>
      </c>
      <c r="G5" s="2">
        <f>10000+(B5-1-150)*H2</f>
        <v>29866.66667</v>
      </c>
      <c r="H5" s="2">
        <f t="shared" ref="H5:H9" si="1">(F5+G5)/2</f>
        <v>29933.33333</v>
      </c>
      <c r="I5" s="2">
        <f t="shared" ref="I5:I9" si="2">C5-1</f>
        <v>299</v>
      </c>
      <c r="J5" s="3">
        <f>0+H5</f>
        <v>29933.33333</v>
      </c>
    </row>
    <row r="6">
      <c r="A6" s="2">
        <v>0.0</v>
      </c>
      <c r="B6" s="2">
        <f t="shared" ref="B6:B9" si="3">I5</f>
        <v>299</v>
      </c>
      <c r="C6" s="2">
        <v>299.0</v>
      </c>
      <c r="D6" s="3">
        <f t="shared" ref="D6:D7" si="4">J5</f>
        <v>29933.33333</v>
      </c>
      <c r="E6" s="3">
        <f t="shared" ref="E6:E7" si="5">D6</f>
        <v>29933.33333</v>
      </c>
      <c r="F6" s="2">
        <f>10000+(B6-150)*H2</f>
        <v>29866.66667</v>
      </c>
      <c r="G6" s="2">
        <f>10000+(B6-1-150)*H2</f>
        <v>29733.33333</v>
      </c>
      <c r="H6" s="2">
        <f t="shared" si="1"/>
        <v>29800</v>
      </c>
      <c r="I6" s="2">
        <f t="shared" si="2"/>
        <v>298</v>
      </c>
      <c r="J6" s="3">
        <f t="shared" ref="J6:J7" si="6">J5+H6</f>
        <v>59733.33333</v>
      </c>
    </row>
    <row r="7">
      <c r="A7" s="2">
        <v>0.0</v>
      </c>
      <c r="B7" s="2">
        <f t="shared" si="3"/>
        <v>298</v>
      </c>
      <c r="C7" s="2">
        <v>298.0</v>
      </c>
      <c r="D7" s="3">
        <f t="shared" si="4"/>
        <v>59733.33333</v>
      </c>
      <c r="E7" s="3">
        <f t="shared" si="5"/>
        <v>59733.33333</v>
      </c>
      <c r="F7" s="2">
        <f>10000+(B7-150)*H2</f>
        <v>29733.33333</v>
      </c>
      <c r="G7" s="2">
        <f>10000+(B7-1-150)*H2</f>
        <v>29600</v>
      </c>
      <c r="H7" s="2">
        <f t="shared" si="1"/>
        <v>29666.66667</v>
      </c>
      <c r="I7" s="2">
        <f t="shared" si="2"/>
        <v>297</v>
      </c>
      <c r="J7" s="3">
        <f t="shared" si="6"/>
        <v>89400</v>
      </c>
    </row>
    <row r="8">
      <c r="A8" s="2">
        <v>100000.0</v>
      </c>
      <c r="B8" s="2">
        <f t="shared" si="3"/>
        <v>297</v>
      </c>
      <c r="C8" s="3">
        <f>min(300,B8+(A8-J7)/I2)</f>
        <v>298.06</v>
      </c>
      <c r="D8" s="3">
        <f>100000</f>
        <v>100000</v>
      </c>
      <c r="E8" s="4">
        <v>0.0</v>
      </c>
      <c r="F8" s="2">
        <f>10000+(C8-150)*H2</f>
        <v>29741.33333</v>
      </c>
      <c r="G8" s="2">
        <f>10000+(C8-1-150)*H2</f>
        <v>29608</v>
      </c>
      <c r="H8" s="2">
        <f t="shared" si="1"/>
        <v>29674.66667</v>
      </c>
      <c r="I8" s="2">
        <f t="shared" si="2"/>
        <v>297.06</v>
      </c>
      <c r="J8" s="3">
        <f>H8+D8</f>
        <v>129674.6667</v>
      </c>
    </row>
    <row r="9">
      <c r="A9" s="2">
        <v>100000.0</v>
      </c>
      <c r="B9" s="2">
        <f t="shared" si="3"/>
        <v>297.06</v>
      </c>
      <c r="C9" s="3">
        <f>B9</f>
        <v>297.06</v>
      </c>
      <c r="D9" s="3">
        <f>J8</f>
        <v>129674.6667</v>
      </c>
      <c r="E9" s="3">
        <f>D9-100000</f>
        <v>29674.66667</v>
      </c>
      <c r="F9" s="2">
        <f>10000+(B9-150)*H2</f>
        <v>29608</v>
      </c>
      <c r="G9" s="2">
        <f>10000+(B9-1-150)*H2</f>
        <v>29474.66667</v>
      </c>
      <c r="H9" s="2">
        <f t="shared" si="1"/>
        <v>29541.33333</v>
      </c>
      <c r="I9" s="2">
        <f t="shared" si="2"/>
        <v>296.06</v>
      </c>
      <c r="J9" s="3">
        <f>0+H9+J8</f>
        <v>159216</v>
      </c>
    </row>
    <row r="16">
      <c r="C16" s="5" t="s">
        <v>19</v>
      </c>
      <c r="D16" s="6"/>
      <c r="E16" s="7"/>
    </row>
    <row r="17">
      <c r="C17" s="2"/>
    </row>
    <row r="19">
      <c r="C19" s="2" t="s">
        <v>20</v>
      </c>
    </row>
    <row r="20">
      <c r="C20" s="2" t="s">
        <v>21</v>
      </c>
    </row>
    <row r="22">
      <c r="C22" s="2" t="s">
        <v>22</v>
      </c>
    </row>
    <row r="23">
      <c r="C23" s="2" t="s">
        <v>23</v>
      </c>
    </row>
    <row r="25">
      <c r="C25" s="2" t="s">
        <v>24</v>
      </c>
    </row>
    <row r="26">
      <c r="C26" s="2" t="s">
        <v>25</v>
      </c>
    </row>
    <row r="28">
      <c r="C28" s="2" t="s">
        <v>26</v>
      </c>
    </row>
    <row r="29">
      <c r="C29" s="2" t="s">
        <v>27</v>
      </c>
    </row>
  </sheetData>
  <mergeCells count="1">
    <mergeCell ref="C16:E16"/>
  </mergeCells>
  <drawing r:id="rId1"/>
</worksheet>
</file>